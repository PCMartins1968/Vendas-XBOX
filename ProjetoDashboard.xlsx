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o\"/>
    </mc:Choice>
  </mc:AlternateContent>
  <xr:revisionPtr revIDLastSave="0" documentId="13_ncr:1_{4F79506F-26F6-4FDE-A31D-217473E0672B}" xr6:coauthVersionLast="47" xr6:coauthVersionMax="47" xr10:uidLastSave="{00000000-0000-0000-0000-000000000000}"/>
  <bookViews>
    <workbookView xWindow="-108" yWindow="-108" windowWidth="23256" windowHeight="12456" tabRatio="0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3" l="1"/>
  <c r="F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0AFE6-B3CE-40DF-B1D6-41A506F4699F}" keepAlive="1" name="Consulta - tbl_annual_g" description="Conexão com a consulta 'tbl_annual_g' na pasta de trabalho." type="5" refreshedVersion="0" background="1">
    <dbPr connection="Provider=Microsoft.Mashup.OleDb.1;Data Source=$Workbook$;Location=tbl_annual_g;Extended Properties=&quot;&quot;" command="SELECT * FROM [tbl_annual_g]"/>
  </connection>
</connections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<sst xmlns="http://schemas.openxmlformats.org/spreadsheetml/2006/main" count="2021" uniqueCount="323">
  <si>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</si>
  <si>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</si>
  <si>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</si>
  <si>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</si>
  <si>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</si>
  <si>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</si>
  <si>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</si>
  <si>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</si>
  <si>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</si>
  <si>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</si>
  <si>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</si>
  <si>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</si>
  <si>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</si>
  <si>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</si>
  <si>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</si>
  <si>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</si>
  <si>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</si>
  <si>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</si>
  <si>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</si>
  <si>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</si>
  <si>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</si>
  <si>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</si>
  <si>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</si>
  <si>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</si>
  <si>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</si>
  <si>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</si>
  <si>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</si>
  <si>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</si>
  <si>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</si>
  <si>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</si>
  <si>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</si>
  <si>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</si>
  <si>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</si>
  <si>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</si>
  <si>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</si>
  <si>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</si>
  <si>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</si>
  <si>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</si>
  <si>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</si>
  <si>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</si>
  <si>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</si>
  <si>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</si>
  <si>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</si>
  <si>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</si>
  <si>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</si>
  <si>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</si>
  <si>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</si>
  <si>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</si>
  <si>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</si>
  <si>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</si>
  <si>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</si>
  <si>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</si>
  <si>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</si>
  <si>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</si>
  <si>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</si>
  <si>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</si>
  <si>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</si>
  <si>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</si>
  <si>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</si>
  <si>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</si>
  <si>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</si>
  <si>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</si>
  <si>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</si>
  <si>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</si>
  <si>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</si>
  <si>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</si>
  <si>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</si>
  <si>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</si>
  <si>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</si>
  <si>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</si>
  <si>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</si>
  <si>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</si>
  <si>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</si>
  <si>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</si>
  <si>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</si>
  <si>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</si>
  <si>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</si>
  <si>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</si>
  <si>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</si>
  <si>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</si>
  <si>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</si>
  <si>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</si>
  <si>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</si>
  <si>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</si>
  <si>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</si>
  <si>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</si>
  <si>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</si>
  <si>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</si>
  <si>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</si>
  <si>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</si>
  <si>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</si>
  <si>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</si>
  <si>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</si>
  <si>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</si>
  <si>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</si>
  <si>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</si>
  <si>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</si>
  <si>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</si>
  <si>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</si>
  <si>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</si>
  <si>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</si>
  <si>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</si>
  <si>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</si>
  <si>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</si>
  <si>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</si>
  <si>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</si>
  <si>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</si>
  <si>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</si>
  <si>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</si>
  <si>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</si>
  <si>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</si>
  <si>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</si>
  <si>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</si>
  <si>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</si>
  <si>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</si>
  <si>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</si>
  <si>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</si>
  <si>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</si>
  <si>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</si>
  <si>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</si>
  <si>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</si>
  <si>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</si>
  <si>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</si>
  <si>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</si>
  <si>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</si>
  <si>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</si>
  <si>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</si>
  <si>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</si>
  <si>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</si>
  <si>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</si>
  <si>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</si>
  <si>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</si>
  <si>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</si>
  <si>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</si>
  <si>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</si>
  <si>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</si>
  <si>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</si>
  <si>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</si>
  <si>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</si>
  <si>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</si>
  <si>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</si>
  <si>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</si>
  <si>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</si>
  <si>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</si>
  <si>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</si>
  <si>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</si>
  <si>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</si>
  <si>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</si>
  <si>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</si>
  <si>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</si>
  <si>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</si>
  <si>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</si>
  <si>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</si>
  <si>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</si>
  <si>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</si>
  <si>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</si>
  <si>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</si>
  <si>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</si>
  <si>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</si>
  <si>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</si>
  <si>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</si>
  <si>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</si>
  <si>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</si>
  <si>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</si>
  <si>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</si>
  <si>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</si>
  <si>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</si>
  <si>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</si>
  <si>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</si>
  <si>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</si>
  <si>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</si>
  <si>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</si>
  <si>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</si>
  <si>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</si>
  <si>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</si>
  <si>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</si>
  <si>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</si>
  <si>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</si>
  <si>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</si>
  <si>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</si>
  <si>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</si>
  <si>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</si>
  <si>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</si>
  <si>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</si>
  <si>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</si>
  <si>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</si>
  <si>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</si>
  <si>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</si>
  <si>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</si>
  <si>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</si>
  <si>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</si>
  <si>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</si>
  <si>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</si>
  <si>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</si>
  <si>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</si>
  <si>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</si>
  <si>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</si>
  <si>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</si>
  <si>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</si>
  <si>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</si>
  <si>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</si>
  <si>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</si>
  <si>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</si>
  <si>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</si>
  <si>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</si>
  <si>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</si>
  <si>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</si>
  <si>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</si>
  <si>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</si>
  <si>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</si>
  <si>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</si>
  <si>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</si>
  <si>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</si>
  <si>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</si>
  <si>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</si>
  <si>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</si>
  <si>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</si>
  <si>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</si>
  <si>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</si>
  <si>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</si>
  <si>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</si>
  <si>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</si>
  <si>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</si>
  <si>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</si>
  <si>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</si>
  <si>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</si>
  <si>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</si>
  <si>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</si>
  <si>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</si>
  <si>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</si>
  <si>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</si>
  <si>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</si>
  <si>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</si>
  <si>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</si>
  <si>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</si>
  <si>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</si>
  <si>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</si>
  <si>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</si>
  <si>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</si>
  <si>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</si>
  <si>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</si>
  <si>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</si>
  <si>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</si>
  <si>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</si>
  <si>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</si>
  <si>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</si>
  <si>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</si>
  <si>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</si>
  <si>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</si>
  <si>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</si>
  <si>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</si>
  <si>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</si>
  <si>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</si>
  <si>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</si>
  <si>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</si>
  <si>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</si>
  <si>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</si>
  <si>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</si>
  <si>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</si>
  <si>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</si>
  <si>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</si>
  <si>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</si>
  <si>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</si>
  <si>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</si>
  <si>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</si>
  <si>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</si>
  <si>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</si>
  <si>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</si>
  <si>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</si>
  <si>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</si>
  <si>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</si>
  <si>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</si>
  <si>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</si>
  <si>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</si>
  <si>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</si>
  <si>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</si>
  <si>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</si>
  <si>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</si>
  <si>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</si>
  <si>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</si>
  <si>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</si>
  <si>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</si>
  <si>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</si>
  <si>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</si>
  <si>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</si>
  <si>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</si>
  <si>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</si>
  <si>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</si>
  <si>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</si>
  <si>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</si>
  <si>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</si>
  <si>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</si>
  <si>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</si>
  <si>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</si>
  <si>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</si>
  <si>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</si>
  <si>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</si>
  <si>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</si>
  <si>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</si>
  <si>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</si>
  <si>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</si>
  <si>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</si>
  <si>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</si>
  <si>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</si>
  <si>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</si>
  <si>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</si>
  <si>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</si>
  <si>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</si>
  <si>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</si>
  <si>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</si>
  <si>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</si>
  <si>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</si>
  <si>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</si>
  <si>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</si>
  <si>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</si>
  <si>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</si>
  <si>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Pergunta de negócio 1 - Qual o faturamento total de vendas de planos anuais (contendo todas as assinaturas agregadas)</t>
  </si>
  <si>
    <t>Pergunta de negócio 2 - Qual o faturamento total de vendas de planos anuais separados por auto renovação e os que não são auto renovação</t>
  </si>
  <si>
    <t>XBOX GAME PASS SUBSCRIPTIONS SALES</t>
  </si>
  <si>
    <t>Pergunta de negócio 3 - Total de vendas de assinaturas do EA Play</t>
  </si>
  <si>
    <t>Soma de EA Play Season Pass</t>
  </si>
  <si>
    <t>Soma de Minecraft Season Pass Price</t>
  </si>
  <si>
    <t>Pergunta de negócio 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</si>
</sst>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EC0E1FE-B3BB-4FDF-A17E-71C0E83070D5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[ProjetoDashboard.xlsx]C̳álculos!tbl_annual_total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2399015735124375E-2"/>
                  <c:h val="9.2523330417031202E-2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7225584329830959E-2"/>
          <c:y val="0.21092155147273259"/>
          <c:w val="0.9097446639742743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8-448A-8AFD-B413B70DF6F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08-448A-8AFD-B413B70DF6F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399015735124375E-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208-448A-8AFD-B413B70DF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8-448A-8AFD-B413B70D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860720"/>
        <c:axId val="1532343520"/>
      </c:barChart>
      <c:catAx>
        <c:axId val="141486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343520"/>
        <c:crosses val="autoZero"/>
        <c:auto val="1"/>
        <c:lblAlgn val="ctr"/>
        <c:lblOffset val="100"/>
        <c:noMultiLvlLbl val="0"/>
      </c:catAx>
      <c:valAx>
        <c:axId val="15323435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1486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88656</xdr:colOff>
      <xdr:row>1</xdr:row>
      <xdr:rowOff>28574</xdr:rowOff>
    </xdr:from>
    <xdr:to>
      <xdr:col>2</xdr:col>
      <xdr:colOff>412506</xdr:colOff>
      <xdr:row>2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2EAE55-5E71-46A4-B497-CC106E9DC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1" t="16454" r="72937" b="19667"/>
        <a:stretch>
          <a:fillRect/>
        </a:stretch>
      </xdr:blipFill>
      <xdr:spPr>
        <a:xfrm>
          <a:off x="1971675" y="209549"/>
          <a:ext cx="571500" cy="6286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215265</xdr:rowOff>
    </xdr:from>
    <xdr:to>
      <xdr:col>0</xdr:col>
      <xdr:colOff>1828800</xdr:colOff>
      <xdr:row>13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8CD57A0-7879-4D9C-9AB6-27543D5CC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38656"/>
              <a:ext cx="1828800" cy="12346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183906</xdr:colOff>
      <xdr:row>4</xdr:row>
      <xdr:rowOff>47625</xdr:rowOff>
    </xdr:from>
    <xdr:to>
      <xdr:col>9</xdr:col>
      <xdr:colOff>374407</xdr:colOff>
      <xdr:row>10</xdr:row>
      <xdr:rowOff>137160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DD5F9034-F413-5BAF-D8F6-C8C2FEC2D7EC}"/>
            </a:ext>
          </a:extLst>
        </xdr:cNvPr>
        <xdr:cNvGrpSpPr/>
      </xdr:nvGrpSpPr>
      <xdr:grpSpPr>
        <a:xfrm>
          <a:off x="2065715" y="1326460"/>
          <a:ext cx="4702866" cy="1222596"/>
          <a:chOff x="2171700" y="1809750"/>
          <a:chExt cx="4705351" cy="122301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3F8D6202-6749-C176-513E-C3E153C82F80}"/>
              </a:ext>
            </a:extLst>
          </xdr:cNvPr>
          <xdr:cNvSpPr/>
        </xdr:nvSpPr>
        <xdr:spPr>
          <a:xfrm>
            <a:off x="2171701" y="1838325"/>
            <a:ext cx="4705350" cy="1057275"/>
          </a:xfrm>
          <a:prstGeom prst="roundRect">
            <a:avLst>
              <a:gd name="adj" fmla="val 675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1EE70D4-2F25-48FE-891B-A2D6AE603C30}"/>
              </a:ext>
            </a:extLst>
          </xdr:cNvPr>
          <xdr:cNvSpPr/>
        </xdr:nvSpPr>
        <xdr:spPr>
          <a:xfrm>
            <a:off x="3571874" y="2030730"/>
            <a:ext cx="3257551" cy="838200"/>
          </a:xfrm>
          <a:prstGeom prst="roundRect">
            <a:avLst>
              <a:gd name="adj" fmla="val 644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904A45F-CF15-4D24-A5DB-CBBB7B94B052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 b="1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8B4416DD-DE4C-4C3A-9ED1-9D51470DD2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0775" y="1866900"/>
            <a:ext cx="1219200" cy="116586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433A17F3-1CFB-91D3-6E27-D4CD00A2BCBC}"/>
              </a:ext>
            </a:extLst>
          </xdr:cNvPr>
          <xdr:cNvSpPr/>
        </xdr:nvSpPr>
        <xdr:spPr>
          <a:xfrm>
            <a:off x="2171700" y="1809750"/>
            <a:ext cx="4705350" cy="2762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TOTALSUBSCRIPTIONS</a:t>
            </a:r>
            <a:r>
              <a:rPr lang="pt-BR" sz="1100" baseline="0"/>
              <a:t> EA PLAY SEASON PASS</a:t>
            </a:r>
          </a:p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561975</xdr:colOff>
      <xdr:row>4</xdr:row>
      <xdr:rowOff>47625</xdr:rowOff>
    </xdr:from>
    <xdr:to>
      <xdr:col>17</xdr:col>
      <xdr:colOff>552451</xdr:colOff>
      <xdr:row>10</xdr:row>
      <xdr:rowOff>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9AE5162-22CA-9CC1-20A6-6A99FC489B67}"/>
            </a:ext>
          </a:extLst>
        </xdr:cNvPr>
        <xdr:cNvGrpSpPr/>
      </xdr:nvGrpSpPr>
      <xdr:grpSpPr>
        <a:xfrm>
          <a:off x="6956149" y="1326460"/>
          <a:ext cx="4708250" cy="1085437"/>
          <a:chOff x="7105650" y="1323975"/>
          <a:chExt cx="4705351" cy="1085851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4863F8C-EFFB-7440-4890-466107510A2E}"/>
              </a:ext>
            </a:extLst>
          </xdr:cNvPr>
          <xdr:cNvSpPr/>
        </xdr:nvSpPr>
        <xdr:spPr>
          <a:xfrm>
            <a:off x="7105651" y="1352550"/>
            <a:ext cx="4705350" cy="1057275"/>
          </a:xfrm>
          <a:prstGeom prst="roundRect">
            <a:avLst>
              <a:gd name="adj" fmla="val 675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AE6B1"/>
              </a:solidFill>
            </a:endParaRPr>
          </a:p>
        </xdr:txBody>
      </xdr:sp>
      <xdr:sp macro="" textlink="C̳álculos!F36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05715DA-8DC4-BCE9-4BF8-B343591F175A}"/>
              </a:ext>
            </a:extLst>
          </xdr:cNvPr>
          <xdr:cNvSpPr/>
        </xdr:nvSpPr>
        <xdr:spPr>
          <a:xfrm>
            <a:off x="8429625" y="1571626"/>
            <a:ext cx="3276600" cy="838200"/>
          </a:xfrm>
          <a:prstGeom prst="roundRect">
            <a:avLst>
              <a:gd name="adj" fmla="val 644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7DA0E79-F1BE-485F-BFF4-81CC80437DB3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3600" b="1">
              <a:solidFill>
                <a:srgbClr val="22C55E"/>
              </a:solidFill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0C8A79BB-E2BA-610D-AC9C-1D5F1091E5D3}"/>
              </a:ext>
            </a:extLst>
          </xdr:cNvPr>
          <xdr:cNvSpPr/>
        </xdr:nvSpPr>
        <xdr:spPr>
          <a:xfrm>
            <a:off x="7105650" y="1323975"/>
            <a:ext cx="4705350" cy="2762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</a:rPr>
              <a:t>TOTALSUBSCRIPTIONS</a:t>
            </a:r>
            <a:r>
              <a:rPr lang="pt-BR" sz="1100" baseline="0">
                <a:solidFill>
                  <a:schemeClr val="bg1"/>
                </a:solidFill>
              </a:rPr>
              <a:t> MINECRAFT SEASON PASS</a:t>
            </a:r>
          </a:p>
          <a:p>
            <a:pPr algn="ctr"/>
            <a:endParaRPr lang="pt-BR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133350</xdr:colOff>
      <xdr:row>11</xdr:row>
      <xdr:rowOff>19050</xdr:rowOff>
    </xdr:from>
    <xdr:to>
      <xdr:col>17</xdr:col>
      <xdr:colOff>581025</xdr:colOff>
      <xdr:row>27</xdr:row>
      <xdr:rowOff>161925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D3E7068C-9281-39FE-B425-E48F8758CED5}"/>
            </a:ext>
          </a:extLst>
        </xdr:cNvPr>
        <xdr:cNvGrpSpPr/>
      </xdr:nvGrpSpPr>
      <xdr:grpSpPr>
        <a:xfrm>
          <a:off x="2015159" y="2616476"/>
          <a:ext cx="9677814" cy="3111362"/>
          <a:chOff x="2085975" y="3162300"/>
          <a:chExt cx="9744075" cy="3038475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0DFDAE9-C5FD-122C-C157-A6DA96B9600C}"/>
              </a:ext>
            </a:extLst>
          </xdr:cNvPr>
          <xdr:cNvGrpSpPr/>
        </xdr:nvGrpSpPr>
        <xdr:grpSpPr>
          <a:xfrm>
            <a:off x="2085975" y="3162300"/>
            <a:ext cx="9734550" cy="3038475"/>
            <a:chOff x="2085975" y="3162300"/>
            <a:chExt cx="9734550" cy="30384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2CB1A97-AD89-7488-03C3-BBBA54B43483}"/>
                </a:ext>
              </a:extLst>
            </xdr:cNvPr>
            <xdr:cNvSpPr/>
          </xdr:nvSpPr>
          <xdr:spPr>
            <a:xfrm>
              <a:off x="2146541" y="3162300"/>
              <a:ext cx="9673984" cy="3038475"/>
            </a:xfrm>
            <a:prstGeom prst="roundRect">
              <a:avLst>
                <a:gd name="adj" fmla="val 399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09F8B99-5C87-46B6-8F2A-B5402B5F4E1A}"/>
                </a:ext>
              </a:extLst>
            </xdr:cNvPr>
            <xdr:cNvGraphicFramePr>
              <a:graphicFrameLocks/>
            </xdr:cNvGraphicFramePr>
          </xdr:nvGraphicFramePr>
          <xdr:xfrm>
            <a:off x="2085975" y="3286125"/>
            <a:ext cx="970595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EF823FFD-EA63-4FA1-848B-95192F589315}"/>
              </a:ext>
            </a:extLst>
          </xdr:cNvPr>
          <xdr:cNvSpPr/>
        </xdr:nvSpPr>
        <xdr:spPr>
          <a:xfrm>
            <a:off x="2152650" y="3162300"/>
            <a:ext cx="9677400" cy="3238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TOTALSUBSCRIPTIONS</a:t>
            </a:r>
            <a:r>
              <a:rPr lang="pt-BR" sz="1100" baseline="0"/>
              <a:t> XBOX GAME PASS</a:t>
            </a:r>
          </a:p>
          <a:p>
            <a:pPr algn="ctr"/>
            <a:endParaRPr lang="pt-BR" sz="1100"/>
          </a:p>
        </xdr:txBody>
      </xdr:sp>
    </xdr:grpSp>
    <xdr:clientData/>
  </xdr:twoCellAnchor>
  <xdr:twoCellAnchor editAs="absolute">
    <xdr:from>
      <xdr:col>10</xdr:col>
      <xdr:colOff>269631</xdr:colOff>
      <xdr:row>7</xdr:row>
      <xdr:rowOff>95250</xdr:rowOff>
    </xdr:from>
    <xdr:to>
      <xdr:col>12</xdr:col>
      <xdr:colOff>231531</xdr:colOff>
      <xdr:row>9</xdr:row>
      <xdr:rowOff>95250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78E19D0-21A3-4678-8E64-469E3FFADA87}"/>
            </a:ext>
          </a:extLst>
        </xdr:cNvPr>
        <xdr:cNvGrpSpPr/>
      </xdr:nvGrpSpPr>
      <xdr:grpSpPr>
        <a:xfrm>
          <a:off x="7273405" y="1718641"/>
          <a:ext cx="1022074" cy="602974"/>
          <a:chOff x="3495675" y="5400674"/>
          <a:chExt cx="1549476" cy="752476"/>
        </a:xfrm>
      </xdr:grpSpPr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D924105B-94CD-557F-941C-359725F013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1" name="Gráfico 30">
            <a:extLst>
              <a:ext uri="{FF2B5EF4-FFF2-40B4-BE49-F238E27FC236}">
                <a16:creationId xmlns:a16="http://schemas.microsoft.com/office/drawing/2014/main" id="{7113D955-DC91-6D05-9D42-8451C4E317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558495</xdr:colOff>
      <xdr:row>1</xdr:row>
      <xdr:rowOff>139148</xdr:rowOff>
    </xdr:from>
    <xdr:to>
      <xdr:col>0</xdr:col>
      <xdr:colOff>1253820</xdr:colOff>
      <xdr:row>2</xdr:row>
      <xdr:rowOff>275722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A329D777-5561-41FF-B81A-AF1ADC516C84}"/>
            </a:ext>
          </a:extLst>
        </xdr:cNvPr>
        <xdr:cNvSpPr/>
      </xdr:nvSpPr>
      <xdr:spPr>
        <a:xfrm>
          <a:off x="558495" y="324678"/>
          <a:ext cx="695325" cy="63353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257175</xdr:colOff>
      <xdr:row>2</xdr:row>
      <xdr:rowOff>353638</xdr:rowOff>
    </xdr:from>
    <xdr:to>
      <xdr:col>0</xdr:col>
      <xdr:colOff>1555140</xdr:colOff>
      <xdr:row>4</xdr:row>
      <xdr:rowOff>47625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0236C3A1-AC9F-7063-04D8-A20F1DDE4EE1}"/>
            </a:ext>
          </a:extLst>
        </xdr:cNvPr>
        <xdr:cNvSpPr/>
      </xdr:nvSpPr>
      <xdr:spPr>
        <a:xfrm>
          <a:off x="257175" y="1033576"/>
          <a:ext cx="1297965" cy="2918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latin typeface="Segoe UI Black" panose="020B0A02040204020203" pitchFamily="34" charset="0"/>
              <a:ea typeface="Segoe UI Black" panose="020B0A02040204020203" pitchFamily="34" charset="0"/>
            </a:rPr>
            <a:t>Benvindo, PC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Martins" refreshedDate="46061.052842708334" createdVersion="8" refreshedVersion="8" minRefreshableVersion="3" recordCount="295" xr:uid="{763308C7-7F2A-43B5-8335-309B5D7D9CB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26259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01DB6-82D8-4BE1-B31B-7912B6E2DB52}" name="tbl_minecraftseasonpass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2:D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4F8B0-5F0E-4ACF-95D0-54779E2B8887}" name="tbl_annual_total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11:D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840CC-6882-4329-B404-25B4AED4B591}" name="tbl_easeasonpasstotal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1:D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721EEE2-FD8D-44CB-8B7D-2DBF525F0649}" sourceName="Subscription Type">
  <pivotTables>
    <pivotTable tabId="3" name="tbl_annual_total"/>
    <pivotTable tabId="3" name="tbl_easeasonpasstotal"/>
    <pivotTable tabId="3" name="tbl_minecraftseasonpass"/>
  </pivotTables>
  <data>
    <tabular pivotCacheId="206262593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9348675-A024-4037-8A62-9AB205294F9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F36"/>
  <sheetViews>
    <sheetView showGridLines="0" topLeftCell="A13" workbookViewId="0">
      <selection activeCell="C29" sqref="C29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6" spans="3:4" x14ac:dyDescent="0.3">
      <c r="C6" t="s">
        <v>316</v>
      </c>
    </row>
    <row r="7" spans="3:4" x14ac:dyDescent="0.3">
      <c r="C7" t="s">
        <v>317</v>
      </c>
    </row>
    <row r="9" spans="3:4" x14ac:dyDescent="0.3">
      <c r="C9" s="14" t="s">
        <v>16</v>
      </c>
      <c r="D9" t="s">
        <v>24</v>
      </c>
    </row>
    <row r="11" spans="3:4" x14ac:dyDescent="0.3">
      <c r="C11" s="14" t="s">
        <v>314</v>
      </c>
      <c r="D11" t="s">
        <v>313</v>
      </c>
    </row>
    <row r="12" spans="3:4" x14ac:dyDescent="0.3">
      <c r="C12" s="15" t="s">
        <v>23</v>
      </c>
      <c r="D12" s="12">
        <v>217</v>
      </c>
    </row>
    <row r="13" spans="3:4" x14ac:dyDescent="0.3">
      <c r="C13" s="15" t="s">
        <v>19</v>
      </c>
      <c r="D13" s="12">
        <v>1537</v>
      </c>
    </row>
    <row r="14" spans="3:4" x14ac:dyDescent="0.3">
      <c r="C14" s="15" t="s">
        <v>315</v>
      </c>
      <c r="D14" s="12">
        <v>1754</v>
      </c>
    </row>
    <row r="17" spans="3:6" x14ac:dyDescent="0.3">
      <c r="C17" t="s">
        <v>319</v>
      </c>
    </row>
    <row r="19" spans="3:6" x14ac:dyDescent="0.3">
      <c r="C19" s="14" t="s">
        <v>16</v>
      </c>
      <c r="D19" t="s">
        <v>24</v>
      </c>
    </row>
    <row r="21" spans="3:6" x14ac:dyDescent="0.3">
      <c r="C21" s="14" t="s">
        <v>314</v>
      </c>
      <c r="D21" t="s">
        <v>320</v>
      </c>
    </row>
    <row r="22" spans="3:6" x14ac:dyDescent="0.3">
      <c r="C22" s="15" t="s">
        <v>22</v>
      </c>
      <c r="D22" s="13">
        <v>0</v>
      </c>
    </row>
    <row r="23" spans="3:6" x14ac:dyDescent="0.3">
      <c r="C23" s="15" t="s">
        <v>26</v>
      </c>
      <c r="D23" s="13">
        <v>0</v>
      </c>
    </row>
    <row r="24" spans="3:6" x14ac:dyDescent="0.3">
      <c r="C24" s="15" t="s">
        <v>18</v>
      </c>
      <c r="D24" s="13">
        <v>600</v>
      </c>
    </row>
    <row r="25" spans="3:6" x14ac:dyDescent="0.3">
      <c r="C25" s="15" t="s">
        <v>315</v>
      </c>
      <c r="D25" s="13">
        <v>600</v>
      </c>
      <c r="F25" s="17">
        <f>GETPIVOTDATA("EA Play Season Pass
Price",$C$21)</f>
        <v>600</v>
      </c>
    </row>
    <row r="28" spans="3:6" x14ac:dyDescent="0.3">
      <c r="C28" t="s">
        <v>322</v>
      </c>
    </row>
    <row r="30" spans="3:6" x14ac:dyDescent="0.3">
      <c r="C30" s="14" t="s">
        <v>16</v>
      </c>
      <c r="D30" t="s">
        <v>24</v>
      </c>
    </row>
    <row r="32" spans="3:6" x14ac:dyDescent="0.3">
      <c r="C32" s="14" t="s">
        <v>314</v>
      </c>
      <c r="D32" t="s">
        <v>321</v>
      </c>
    </row>
    <row r="33" spans="3:6" x14ac:dyDescent="0.3">
      <c r="C33" s="15" t="s">
        <v>22</v>
      </c>
      <c r="D33" s="12">
        <v>0</v>
      </c>
    </row>
    <row r="34" spans="3:6" x14ac:dyDescent="0.3">
      <c r="C34" s="15" t="s">
        <v>26</v>
      </c>
      <c r="D34" s="12">
        <v>540</v>
      </c>
    </row>
    <row r="35" spans="3:6" x14ac:dyDescent="0.3">
      <c r="C35" s="15" t="s">
        <v>18</v>
      </c>
      <c r="D35" s="12">
        <v>400</v>
      </c>
    </row>
    <row r="36" spans="3:6" x14ac:dyDescent="0.3">
      <c r="C36" s="15" t="s">
        <v>315</v>
      </c>
      <c r="D36" s="12">
        <v>940</v>
      </c>
      <c r="F36" s="17">
        <f>GETPIVOTDATA("Minecraft Season Pass Price",$C$32)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201"/>
  <sheetViews>
    <sheetView showGridLines="0" showRowColHeaders="0" tabSelected="1" zoomScale="115" zoomScaleNormal="115" workbookViewId="0">
      <selection activeCell="A34" sqref="A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8" ht="39" customHeight="1" thickBot="1" x14ac:dyDescent="0.45">
      <c r="C2" s="19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</row>
    <row r="3" spans="1:18" ht="39" customHeight="1" thickTop="1" x14ac:dyDescent="0.3"/>
    <row r="4" spans="1:18" s="7" customFormat="1" ht="8.25" customHeight="1" x14ac:dyDescent="0.3">
      <c r="A4" s="4"/>
    </row>
    <row r="5" spans="1:18" s="7" customFormat="1" ht="7.5" customHeight="1" x14ac:dyDescent="0.3">
      <c r="A5" s="4"/>
    </row>
    <row r="6" spans="1:18" s="7" customFormat="1" ht="10.5" customHeight="1" x14ac:dyDescent="0.3">
      <c r="A6" s="4"/>
    </row>
    <row r="7" spans="1:18" s="7" customFormat="1" ht="9.6" customHeight="1" x14ac:dyDescent="0.3">
      <c r="A7" s="4"/>
    </row>
    <row r="8" spans="1:18" s="7" customFormat="1" ht="33" customHeight="1" x14ac:dyDescent="0.3">
      <c r="A8" s="4"/>
    </row>
    <row r="9" spans="1:18" s="7" customFormat="1" x14ac:dyDescent="0.3">
      <c r="A9" s="4"/>
    </row>
    <row r="10" spans="1:18" s="7" customFormat="1" x14ac:dyDescent="0.3">
      <c r="A10" s="4"/>
    </row>
    <row r="11" spans="1:18" s="7" customFormat="1" x14ac:dyDescent="0.3">
      <c r="A11" s="4"/>
    </row>
    <row r="12" spans="1:18" s="7" customFormat="1" x14ac:dyDescent="0.3">
      <c r="A12" s="4"/>
    </row>
    <row r="13" spans="1:18" s="7" customFormat="1" x14ac:dyDescent="0.3">
      <c r="A13" s="4"/>
    </row>
    <row r="14" spans="1:18" s="7" customFormat="1" x14ac:dyDescent="0.3">
      <c r="A14" s="4"/>
    </row>
    <row r="15" spans="1:18" s="7" customFormat="1" x14ac:dyDescent="0.3">
      <c r="A15" s="4"/>
    </row>
    <row r="16" spans="1:18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22F0292E-2505-4F8C-AF82-1722063EA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Paulo Martins</cp:lastModifiedBy>
  <dcterms:created xsi:type="dcterms:W3CDTF">2024-12-19T13:13:10Z</dcterms:created>
  <dcterms:modified xsi:type="dcterms:W3CDTF">2026-02-08T05:25:43Z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